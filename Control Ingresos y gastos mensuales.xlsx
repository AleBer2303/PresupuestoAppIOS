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ubre 2026" sheetId="1" r:id="rId5"/>
  </sheets>
  <definedNames/>
  <calcPr/>
</workbook>
</file>

<file path=xl/sharedStrings.xml><?xml version="1.0" encoding="utf-8"?>
<sst xmlns="http://schemas.openxmlformats.org/spreadsheetml/2006/main" count="44" uniqueCount="36">
  <si>
    <t>Control de Ingresos y Gastos Mensuales - Octubre 2026</t>
  </si>
  <si>
    <t>Total Ingresos Previstos</t>
  </si>
  <si>
    <t>Total Gastos Previstos</t>
  </si>
  <si>
    <t>Total Gastos Pagados</t>
  </si>
  <si>
    <t>Total Gastos Pendientes</t>
  </si>
  <si>
    <t>Flujo Neto (Saldo)</t>
  </si>
  <si>
    <t>INGRESOS</t>
  </si>
  <si>
    <t>GASTOS</t>
  </si>
  <si>
    <t>Ingresos Fijos</t>
  </si>
  <si>
    <t>Monto</t>
  </si>
  <si>
    <t>¿Recibido?</t>
  </si>
  <si>
    <t>Fecha Recibido</t>
  </si>
  <si>
    <t>Gastos Fijos</t>
  </si>
  <si>
    <t>¿Pagado?</t>
  </si>
  <si>
    <t>Estado</t>
  </si>
  <si>
    <t>Fecha de Pago</t>
  </si>
  <si>
    <t>Salario Principal</t>
  </si>
  <si>
    <t>CB300F</t>
  </si>
  <si>
    <t>Prima</t>
  </si>
  <si>
    <t>Cuota FUNFAMI</t>
  </si>
  <si>
    <t>Total Ingresos Fijos</t>
  </si>
  <si>
    <t>Plan de celular y baño kabir</t>
  </si>
  <si>
    <t>Seguro TR SURA</t>
  </si>
  <si>
    <t>Ingresos Variables</t>
  </si>
  <si>
    <t>ETB O Alexandra</t>
  </si>
  <si>
    <t>Otros Ingresos Variables</t>
  </si>
  <si>
    <t>Parqueadero CEM</t>
  </si>
  <si>
    <t>Total Ingresos Variables</t>
  </si>
  <si>
    <t>Gasolina Moto/Carro</t>
  </si>
  <si>
    <t>TOTAL INGRESOS</t>
  </si>
  <si>
    <t>Total Gastos Fijos</t>
  </si>
  <si>
    <t>Gastos Variables</t>
  </si>
  <si>
    <t>Tarjeta Nu</t>
  </si>
  <si>
    <t>Smart Fit</t>
  </si>
  <si>
    <t>Total Gastos Variables</t>
  </si>
  <si>
    <t>TOTAL GASTOS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</si>
</sst>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"/>
    <numFmt numFmtId="165" formatCode="dd/mm/yyyy"/>
  </numFmts>
  <fonts count="12">
    <font>
      <sz val="10.0"/>
      <color rgb="FF000000"/>
      <name val="Arial"/>
      <scheme val="minor"/>
    </font>
    <font>
      <b/>
      <sz val="14.0"/>
      <color rgb="FF153823"/>
      <name val="Arial"/>
      <scheme val="minor"/>
    </font>
    <font>
      <sz val="10.0"/>
      <color theme="1"/>
      <name val="Roboto"/>
    </font>
    <font>
      <color theme="1"/>
      <name val="Roboto"/>
    </font>
    <font>
      <sz val="10.0"/>
      <color rgb="FF2C3747"/>
      <name val="Arial"/>
      <scheme val="minor"/>
    </font>
    <font>
      <b/>
      <sz val="10.0"/>
      <color rgb="FF19261E"/>
      <name val="Arial"/>
      <scheme val="minor"/>
    </font>
    <font>
      <b/>
      <sz val="10.0"/>
      <color rgb="FF0A421E"/>
      <name val="Arial"/>
      <scheme val="minor"/>
    </font>
    <font>
      <b/>
      <sz val="11.0"/>
      <color rgb="FFFFFFFF"/>
      <name val="Arial"/>
      <scheme val="minor"/>
    </font>
    <font/>
    <font>
      <b/>
      <sz val="10.0"/>
      <color rgb="FF1F382B"/>
      <name val="Arial"/>
      <scheme val="minor"/>
    </font>
    <font>
      <b/>
      <color theme="1"/>
      <name val="Roboto"/>
    </font>
    <font>
      <b/>
      <color rgb="FF1F382B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6F8F7"/>
        <bgColor rgb="FFF6F8F7"/>
      </patternFill>
    </fill>
    <fill>
      <patternFill patternType="solid">
        <fgColor rgb="FFD0E9D6"/>
        <bgColor rgb="FFD0E9D6"/>
      </patternFill>
    </fill>
    <fill>
      <patternFill patternType="solid">
        <fgColor rgb="FF1F5E3A"/>
        <bgColor rgb="FF1F5E3A"/>
      </patternFill>
    </fill>
    <fill>
      <patternFill patternType="solid">
        <fgColor rgb="FFE4EEE7"/>
        <bgColor rgb="FFE4EEE7"/>
      </patternFill>
    </fill>
    <fill>
      <patternFill patternType="solid">
        <fgColor rgb="FFEFF6F1"/>
        <bgColor rgb="FFEFF6F1"/>
      </patternFill>
    </fill>
    <fill>
      <patternFill patternType="solid">
        <fgColor rgb="FFD7EBD9"/>
        <bgColor rgb="FFD7EBD9"/>
      </patternFill>
    </fill>
  </fills>
  <borders count="25">
    <border/>
    <border>
      <left style="thin">
        <color rgb="FFBCD1C4"/>
      </left>
      <right style="thin">
        <color rgb="FFD8E2DB"/>
      </right>
      <top style="thin">
        <color rgb="FFBCD1C4"/>
      </top>
      <bottom style="thin">
        <color rgb="FFD8E2DB"/>
      </bottom>
    </border>
    <border>
      <left style="thin">
        <color rgb="FFD8E2DB"/>
      </left>
      <right style="thin">
        <color rgb="FFBCD1C4"/>
      </right>
      <top style="thin">
        <color rgb="FFBCD1C4"/>
      </top>
      <bottom style="thin">
        <color rgb="FFD8E2DB"/>
      </bottom>
    </border>
    <border>
      <left style="thin">
        <color rgb="FFBCD1C4"/>
      </left>
      <right style="thin">
        <color rgb="FFD8E2DB"/>
      </right>
      <top style="thin">
        <color rgb="FFD8E2DB"/>
      </top>
      <bottom style="thin">
        <color rgb="FFD8E2DB"/>
      </bottom>
    </border>
    <border>
      <left style="thin">
        <color rgb="FFD8E2DB"/>
      </left>
      <right style="thin">
        <color rgb="FFBCD1C4"/>
      </right>
      <top style="thin">
        <color rgb="FFD8E2DB"/>
      </top>
      <bottom style="thin">
        <color rgb="FFD8E2DB"/>
      </bottom>
    </border>
    <border>
      <left style="thin">
        <color rgb="FFBCD1C4"/>
      </left>
      <right style="thin">
        <color rgb="FFD8E2DB"/>
      </right>
      <top style="thin">
        <color rgb="FFD8E2DB"/>
      </top>
      <bottom style="thin">
        <color rgb="FFBCD1C4"/>
      </bottom>
    </border>
    <border>
      <left style="thin">
        <color rgb="FFD8E2DB"/>
      </left>
      <right style="thin">
        <color rgb="FFBCD1C4"/>
      </right>
      <top style="thin">
        <color rgb="FFD8E2DB"/>
      </top>
      <bottom style="thin">
        <color rgb="FFBCD1C4"/>
      </bottom>
    </border>
    <border>
      <left style="thin">
        <color rgb="FF1F5E3A"/>
      </left>
      <top style="thin">
        <color rgb="FF1F5E3A"/>
      </top>
      <bottom style="thin">
        <color rgb="FFE0EAE0"/>
      </bottom>
    </border>
    <border>
      <top style="thin">
        <color rgb="FF1F5E3A"/>
      </top>
      <bottom style="thin">
        <color rgb="FFE0EAE0"/>
      </bottom>
    </border>
    <border>
      <right style="thin">
        <color rgb="FF1F5E3A"/>
      </right>
      <top style="thin">
        <color rgb="FF1F5E3A"/>
      </top>
      <bottom style="thin">
        <color rgb="FFE0EAE0"/>
      </bottom>
    </border>
    <border>
      <left style="thin">
        <color rgb="FF1F5E3A"/>
      </left>
      <right style="thin">
        <color rgb="FFE0EAE0"/>
      </right>
      <top style="thin">
        <color rgb="FFE0EAE0"/>
      </top>
      <bottom style="thin">
        <color rgb="FFE0EAE0"/>
      </bottom>
    </border>
    <border>
      <left style="thin">
        <color rgb="FFE0EAE0"/>
      </left>
      <right style="thin">
        <color rgb="FFE0EAE0"/>
      </right>
      <top style="thin">
        <color rgb="FFE0EAE0"/>
      </top>
      <bottom style="thin">
        <color rgb="FFE0EAE0"/>
      </bottom>
    </border>
    <border>
      <left style="thin">
        <color rgb="FFE0EAE0"/>
      </left>
      <right style="thin">
        <color rgb="FFBFD1BF"/>
      </right>
      <top style="thin">
        <color rgb="FFE0EAE0"/>
      </top>
      <bottom style="thin">
        <color rgb="FFE0EAE0"/>
      </bottom>
    </border>
    <border>
      <right style="thin">
        <color rgb="FF1F5E3A"/>
      </right>
    </border>
    <border>
      <left style="thin">
        <color rgb="FF1F5E3A"/>
      </left>
      <right style="thin">
        <color rgb="FFE0EAE0"/>
      </right>
      <top style="thin">
        <color rgb="FFE0EAE0"/>
      </top>
      <bottom style="thin">
        <color rgb="FF99B299"/>
      </bottom>
    </border>
    <border>
      <left style="thin">
        <color rgb="FFE0EAE0"/>
      </left>
      <right style="thin">
        <color rgb="FFE0EAE0"/>
      </right>
      <top style="thin">
        <color rgb="FFE0EAE0"/>
      </top>
      <bottom style="thin">
        <color rgb="FF99B299"/>
      </bottom>
    </border>
    <border>
      <left style="thin">
        <color rgb="FFE0EAE0"/>
      </left>
      <right style="thin">
        <color rgb="FFBFD1BF"/>
      </right>
      <top style="thin">
        <color rgb="FFE0EAE0"/>
      </top>
      <bottom style="thin">
        <color rgb="FF99B299"/>
      </bottom>
    </border>
    <border>
      <left style="thin">
        <color rgb="FF1F5E3A"/>
      </left>
    </border>
    <border>
      <left style="thin">
        <color rgb="FF1F5E3A"/>
      </left>
      <right style="thin">
        <color rgb="FFE0EAE0"/>
      </right>
      <top style="thin">
        <color rgb="FF99B299"/>
      </top>
      <bottom style="thin">
        <color rgb="FFE0EAE0"/>
      </bottom>
    </border>
    <border>
      <left style="thin">
        <color rgb="FFE0EAE0"/>
      </left>
      <right style="thin">
        <color rgb="FFE0EAE0"/>
      </right>
      <top style="thin">
        <color rgb="FF99B299"/>
      </top>
      <bottom style="thin">
        <color rgb="FFE0EAE0"/>
      </bottom>
    </border>
    <border>
      <left style="thin">
        <color rgb="FFE0EAE0"/>
      </left>
      <right style="thin">
        <color rgb="FFBFD1BF"/>
      </right>
      <top style="thin">
        <color rgb="FF99B299"/>
      </top>
      <bottom style="thin">
        <color rgb="FFE0EAE0"/>
      </bottom>
    </border>
    <border>
      <left style="thin">
        <color rgb="FF1F5E3A"/>
      </left>
      <right style="thin">
        <color rgb="FFE0EAE0"/>
      </right>
      <top style="thin">
        <color rgb="FFE0EAE0"/>
      </top>
      <bottom style="thin">
        <color rgb="FF1F5E3A"/>
      </bottom>
    </border>
    <border>
      <left style="thin">
        <color rgb="FFE0EAE0"/>
      </left>
      <right style="thin">
        <color rgb="FFE0EAE0"/>
      </right>
      <top style="thin">
        <color rgb="FFE0EAE0"/>
      </top>
      <bottom style="thin">
        <color rgb="FF1F5E3A"/>
      </bottom>
    </border>
    <border>
      <left style="thin">
        <color rgb="FFE0EAE0"/>
      </left>
      <right style="thin">
        <color rgb="FFBFD1BF"/>
      </right>
      <top style="thin">
        <color rgb="FFE0EAE0"/>
      </top>
      <bottom style="thin">
        <color rgb="FF1F5E3A"/>
      </bottom>
    </border>
    <border>
      <right style="thin">
        <color rgb="FF1F5E3A"/>
      </right>
      <bottom style="thin">
        <color rgb="FF1F5E3A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readingOrder="0" vertical="center"/>
    </xf>
    <xf borderId="2" fillId="2" fontId="5" numFmtId="164" xfId="0" applyAlignment="1" applyBorder="1" applyFill="1" applyFont="1" applyNumberFormat="1">
      <alignment horizontal="right" vertical="center"/>
    </xf>
    <xf borderId="3" fillId="2" fontId="4" numFmtId="0" xfId="0" applyAlignment="1" applyBorder="1" applyFill="1" applyFont="1">
      <alignment readingOrder="0" vertical="center"/>
    </xf>
    <xf borderId="4" fillId="2" fontId="5" numFmtId="164" xfId="0" applyAlignment="1" applyBorder="1" applyFill="1" applyFont="1" applyNumberFormat="1">
      <alignment horizontal="right" vertical="center"/>
    </xf>
    <xf borderId="5" fillId="3" fontId="6" numFmtId="0" xfId="0" applyAlignment="1" applyBorder="1" applyFill="1" applyFont="1">
      <alignment readingOrder="0" vertical="center"/>
    </xf>
    <xf borderId="6" fillId="3" fontId="6" numFmtId="164" xfId="0" applyAlignment="1" applyBorder="1" applyFill="1" applyFont="1" applyNumberFormat="1">
      <alignment horizontal="right" vertical="center"/>
    </xf>
    <xf borderId="7" fillId="4" fontId="7" numFmtId="0" xfId="0" applyAlignment="1" applyBorder="1" applyFill="1" applyFont="1">
      <alignment horizontal="center" readingOrder="0" vertical="center"/>
    </xf>
    <xf borderId="8" fillId="0" fontId="8" numFmtId="0" xfId="0" applyBorder="1" applyFont="1"/>
    <xf borderId="9" fillId="0" fontId="8" numFmtId="0" xfId="0" applyBorder="1" applyFont="1"/>
    <xf borderId="10" fillId="5" fontId="9" numFmtId="0" xfId="0" applyAlignment="1" applyBorder="1" applyFill="1" applyFont="1">
      <alignment readingOrder="0" vertical="center"/>
    </xf>
    <xf borderId="11" fillId="5" fontId="9" numFmtId="0" xfId="0" applyAlignment="1" applyBorder="1" applyFill="1" applyFont="1">
      <alignment readingOrder="0" vertical="center"/>
    </xf>
    <xf borderId="12" fillId="5" fontId="9" numFmtId="0" xfId="0" applyAlignment="1" applyBorder="1" applyFill="1" applyFont="1">
      <alignment readingOrder="0" vertical="center"/>
    </xf>
    <xf borderId="13" fillId="5" fontId="9" numFmtId="0" xfId="0" applyAlignment="1" applyBorder="1" applyFill="1" applyFont="1">
      <alignment horizontal="center" vertical="center"/>
    </xf>
    <xf borderId="10" fillId="0" fontId="2" numFmtId="0" xfId="0" applyAlignment="1" applyBorder="1" applyFont="1">
      <alignment readingOrder="0"/>
    </xf>
    <xf borderId="11" fillId="0" fontId="2" numFmtId="164" xfId="0" applyAlignment="1" applyBorder="1" applyFont="1" applyNumberFormat="1">
      <alignment horizontal="right" readingOrder="0"/>
    </xf>
    <xf borderId="12" fillId="0" fontId="2" numFmtId="0" xfId="0" applyAlignment="1" applyBorder="1" applyFont="1">
      <alignment horizontal="center" readingOrder="0"/>
    </xf>
    <xf borderId="13" fillId="0" fontId="2" numFmtId="165" xfId="0" applyAlignment="1" applyBorder="1" applyFont="1" applyNumberFormat="1">
      <alignment horizontal="center" readingOrder="0" vertical="center"/>
    </xf>
    <xf borderId="11" fillId="0" fontId="2" numFmtId="0" xfId="0" applyAlignment="1" applyBorder="1" applyFont="1">
      <alignment horizontal="center" readingOrder="0"/>
    </xf>
    <xf borderId="12" fillId="0" fontId="10" numFmtId="0" xfId="0" applyAlignment="1" applyBorder="1" applyFont="1">
      <alignment horizontal="center"/>
    </xf>
    <xf borderId="13" fillId="0" fontId="3" numFmtId="165" xfId="0" applyAlignment="1" applyBorder="1" applyFont="1" applyNumberFormat="1">
      <alignment horizontal="center" vertical="center"/>
    </xf>
    <xf borderId="13" fillId="0" fontId="2" numFmtId="165" xfId="0" applyAlignment="1" applyBorder="1" applyFont="1" applyNumberFormat="1">
      <alignment horizontal="center" vertical="center"/>
    </xf>
    <xf borderId="14" fillId="6" fontId="11" numFmtId="0" xfId="0" applyAlignment="1" applyBorder="1" applyFill="1" applyFont="1">
      <alignment readingOrder="0"/>
    </xf>
    <xf borderId="15" fillId="6" fontId="11" numFmtId="164" xfId="0" applyAlignment="1" applyBorder="1" applyFill="1" applyFont="1" applyNumberFormat="1">
      <alignment horizontal="right"/>
    </xf>
    <xf borderId="16" fillId="6" fontId="11" numFmtId="0" xfId="0" applyAlignment="1" applyBorder="1" applyFill="1" applyFont="1">
      <alignment horizontal="center"/>
    </xf>
    <xf borderId="13" fillId="6" fontId="11" numFmtId="165" xfId="0" applyAlignment="1" applyBorder="1" applyFill="1" applyFont="1" applyNumberFormat="1">
      <alignment horizontal="center" vertical="center"/>
    </xf>
    <xf borderId="17" fillId="0" fontId="2" numFmtId="0" xfId="0" applyBorder="1" applyFont="1"/>
    <xf borderId="0" fillId="0" fontId="2" numFmtId="164" xfId="0" applyAlignment="1" applyFont="1" applyNumberFormat="1">
      <alignment horizontal="right"/>
    </xf>
    <xf borderId="0" fillId="0" fontId="2" numFmtId="0" xfId="0" applyAlignment="1" applyFont="1">
      <alignment horizontal="center"/>
    </xf>
    <xf borderId="18" fillId="5" fontId="9" numFmtId="0" xfId="0" applyAlignment="1" applyBorder="1" applyFill="1" applyFont="1">
      <alignment readingOrder="0" vertical="center"/>
    </xf>
    <xf borderId="19" fillId="5" fontId="9" numFmtId="164" xfId="0" applyAlignment="1" applyBorder="1" applyFill="1" applyFont="1" applyNumberFormat="1">
      <alignment horizontal="right" readingOrder="0" vertical="center"/>
    </xf>
    <xf borderId="20" fillId="5" fontId="9" numFmtId="0" xfId="0" applyAlignment="1" applyBorder="1" applyFill="1" applyFont="1">
      <alignment horizontal="center" readingOrder="0" vertical="center"/>
    </xf>
    <xf borderId="13" fillId="5" fontId="9" numFmtId="0" xfId="0" applyAlignment="1" applyBorder="1" applyFill="1" applyFont="1">
      <alignment horizontal="center" readingOrder="0" vertical="center"/>
    </xf>
    <xf borderId="10" fillId="6" fontId="11" numFmtId="0" xfId="0" applyAlignment="1" applyBorder="1" applyFill="1" applyFont="1">
      <alignment readingOrder="0"/>
    </xf>
    <xf borderId="11" fillId="6" fontId="11" numFmtId="164" xfId="0" applyAlignment="1" applyBorder="1" applyFill="1" applyFont="1" applyNumberFormat="1">
      <alignment horizontal="right"/>
    </xf>
    <xf borderId="12" fillId="6" fontId="11" numFmtId="0" xfId="0" applyAlignment="1" applyBorder="1" applyFill="1" applyFont="1">
      <alignment horizontal="center"/>
    </xf>
    <xf borderId="21" fillId="7" fontId="6" numFmtId="0" xfId="0" applyAlignment="1" applyBorder="1" applyFill="1" applyFont="1">
      <alignment readingOrder="0"/>
    </xf>
    <xf borderId="22" fillId="7" fontId="6" numFmtId="164" xfId="0" applyAlignment="1" applyBorder="1" applyFill="1" applyFont="1" applyNumberFormat="1">
      <alignment horizontal="right"/>
    </xf>
    <xf borderId="23" fillId="7" fontId="6" numFmtId="0" xfId="0" applyAlignment="1" applyBorder="1" applyFill="1" applyFont="1">
      <alignment horizontal="center"/>
    </xf>
    <xf borderId="24" fillId="7" fontId="6" numFmtId="165" xfId="0" applyAlignment="1" applyBorder="1" applyFill="1" applyFont="1" applyNumberFormat="1">
      <alignment horizontal="center" vertical="center"/>
    </xf>
    <xf borderId="11" fillId="0" fontId="2" numFmtId="0" xfId="0" applyAlignment="1" applyBorder="1" applyFont="1">
      <alignment horizontal="center" readingOrder="0"/>
    </xf>
    <xf borderId="15" fillId="6" fontId="11" numFmtId="0" xfId="0" applyAlignment="1" applyBorder="1" applyFill="1" applyFont="1">
      <alignment horizontal="center"/>
    </xf>
    <xf borderId="13" fillId="6" fontId="11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center"/>
    </xf>
    <xf borderId="13" fillId="0" fontId="3" numFmtId="0" xfId="0" applyAlignment="1" applyBorder="1" applyFont="1">
      <alignment horizontal="center" vertical="center"/>
    </xf>
    <xf borderId="19" fillId="5" fontId="9" numFmtId="0" xfId="0" applyAlignment="1" applyBorder="1" applyFill="1" applyFont="1">
      <alignment horizontal="center" readingOrder="0" vertical="center"/>
    </xf>
    <xf borderId="11" fillId="6" fontId="11" numFmtId="164" xfId="0" applyAlignment="1" applyBorder="1" applyFill="1" applyFont="1" applyNumberFormat="1">
      <alignment horizontal="right" readingOrder="0"/>
    </xf>
    <xf borderId="11" fillId="6" fontId="11" numFmtId="0" xfId="0" applyAlignment="1" applyBorder="1" applyFill="1" applyFont="1">
      <alignment horizontal="center"/>
    </xf>
    <xf borderId="13" fillId="6" fontId="11" numFmtId="0" xfId="0" applyBorder="1" applyFill="1" applyFont="1"/>
    <xf borderId="22" fillId="7" fontId="6" numFmtId="0" xfId="0" applyAlignment="1" applyBorder="1" applyFill="1" applyFont="1">
      <alignment horizontal="center"/>
    </xf>
    <xf borderId="24" fillId="7" fontId="6" numFmtId="0" xfId="0" applyBorder="1" applyFill="1" applyFont="1"/>
  </cellXfs>
  <cellStyles count="1">
    <cellStyle xfId="0" name="Normal" builtinId="0"/>
  </cellStyles>
  <dxfs count="1">
    <dxf>
      <font>
        <strike/>
        <color rgb="FF476B4F"/>
      </font>
      <fill>
        <patternFill patternType="solid">
          <fgColor rgb="FFE8F4EB"/>
          <bgColor rgb="FFE8F4E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1771650</xdr:colOff>
      <xdr:row>21</xdr:row>
      <xdr:rowOff>180975</xdr:rowOff>
    </xdr:from>
    <xdr:ext cx="2514600" cy="590550"/>
    <xdr:sp>
      <xdr:nvSpPr>
        <xdr:cNvPr id="3" name="Shape 3"/>
        <xdr:cNvSpPr/>
      </xdr:nvSpPr>
      <xdr:spPr>
        <a:xfrm>
          <a:off x="600400" y="500350"/>
          <a:ext cx="2491800" cy="570300"/>
        </a:xfrm>
        <a:prstGeom prst="roundRect">
          <a:avLst>
            <a:gd fmla="val 16667" name="adj"/>
          </a:avLst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Siguiente Mes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6.38"/>
    <col customWidth="1" min="3" max="3" width="10.75"/>
    <col customWidth="1" min="4" max="4" width="14.5"/>
    <col customWidth="1" min="5" max="5" width="4.5"/>
    <col customWidth="1" min="6" max="6" width="33.88"/>
    <col customWidth="1" min="7" max="7" width="16.38"/>
    <col customWidth="1" min="8" max="8" width="10.75"/>
    <col customWidth="1" min="9" max="9" width="12.63"/>
    <col customWidth="1" min="10" max="10" width="14.5"/>
  </cols>
  <sheetData>
    <row r="1" ht="30.0" customHeight="1">
      <c r="A1" s="1" t="s">
        <v>0</v>
      </c>
      <c r="E1" s="2"/>
      <c r="F1" s="2"/>
      <c r="G1" s="2"/>
      <c r="H1" s="2"/>
      <c r="I1" s="2"/>
      <c r="J1" s="3"/>
    </row>
    <row r="2" ht="18.0" customHeight="1">
      <c r="A2" s="4" t="s">
        <v>1</v>
      </c>
      <c r="B2" s="5">
        <f>B17</f>
        <v>0</v>
      </c>
      <c r="C2" s="2"/>
      <c r="D2" s="2"/>
      <c r="E2" s="2"/>
      <c r="F2" s="2"/>
      <c r="G2" s="2"/>
      <c r="H2" s="2"/>
      <c r="I2" s="2"/>
      <c r="J2" s="3"/>
    </row>
    <row r="3" ht="18.0" customHeight="1">
      <c r="A3" s="6" t="s">
        <v>2</v>
      </c>
      <c r="B3" s="7">
        <f>SUM(G10:G17)+SUM(G21:G23)</f>
        <v>3350000</v>
      </c>
      <c r="C3" s="2"/>
      <c r="D3" s="2"/>
      <c r="E3" s="2"/>
      <c r="F3" s="2"/>
      <c r="G3" s="2"/>
      <c r="H3" s="2"/>
      <c r="I3" s="2"/>
      <c r="J3" s="3"/>
    </row>
    <row r="4" ht="18.0" customHeight="1">
      <c r="A4" s="6" t="s">
        <v>3</v>
      </c>
      <c r="B4" s="7">
        <f>G25</f>
        <v>0</v>
      </c>
      <c r="C4" s="2"/>
      <c r="D4" s="2"/>
      <c r="E4" s="2"/>
      <c r="F4" s="2"/>
      <c r="G4" s="2"/>
      <c r="H4" s="2"/>
      <c r="I4" s="2"/>
      <c r="J4" s="3"/>
    </row>
    <row r="5" ht="18.0" customHeight="1">
      <c r="A5" s="6" t="s">
        <v>4</v>
      </c>
      <c r="B5" s="7">
        <f>SUMIF(H10:H17, FALSE, G10:G17) + SUMIF(H21:H23, FALSE, G21:G23)</f>
        <v>3350000</v>
      </c>
      <c r="C5" s="2"/>
      <c r="D5" s="2"/>
      <c r="E5" s="2"/>
      <c r="F5" s="2"/>
      <c r="G5" s="2"/>
      <c r="H5" s="2"/>
      <c r="I5" s="2"/>
      <c r="J5" s="3"/>
    </row>
    <row r="6" ht="18.0" customHeight="1">
      <c r="A6" s="8" t="s">
        <v>5</v>
      </c>
      <c r="B6" s="9">
        <f>B2-B4</f>
        <v>0</v>
      </c>
      <c r="C6" s="2"/>
      <c r="D6" s="2"/>
      <c r="E6" s="2"/>
      <c r="F6" s="2"/>
      <c r="G6" s="2"/>
      <c r="H6" s="2"/>
      <c r="I6" s="2"/>
      <c r="J6" s="3"/>
    </row>
    <row r="7">
      <c r="A7" s="2"/>
      <c r="B7" s="2"/>
      <c r="C7" s="2"/>
      <c r="D7" s="2"/>
      <c r="E7" s="2"/>
      <c r="F7" s="2"/>
      <c r="G7" s="2"/>
      <c r="H7" s="2"/>
      <c r="I7" s="2"/>
      <c r="J7" s="3"/>
    </row>
    <row r="8" ht="22.5" customHeight="1">
      <c r="A8" s="10" t="s">
        <v>6</v>
      </c>
      <c r="B8" s="11"/>
      <c r="C8" s="11"/>
      <c r="D8" s="12"/>
      <c r="E8" s="2"/>
      <c r="F8" s="10" t="s">
        <v>7</v>
      </c>
      <c r="G8" s="11"/>
      <c r="H8" s="11"/>
      <c r="I8" s="11"/>
      <c r="J8" s="12"/>
    </row>
    <row r="9" ht="18.0" customHeight="1">
      <c r="A9" s="13" t="s">
        <v>8</v>
      </c>
      <c r="B9" s="14" t="s">
        <v>9</v>
      </c>
      <c r="C9" s="15" t="s">
        <v>10</v>
      </c>
      <c r="D9" s="16" t="s">
        <v>11</v>
      </c>
      <c r="E9" s="2"/>
      <c r="F9" s="13" t="s">
        <v>12</v>
      </c>
      <c r="G9" s="14" t="s">
        <v>9</v>
      </c>
      <c r="H9" s="14" t="s">
        <v>13</v>
      </c>
      <c r="I9" s="15" t="s">
        <v>14</v>
      </c>
      <c r="J9" s="16" t="s">
        <v>15</v>
      </c>
    </row>
    <row r="10">
      <c r="A10" s="17" t="s">
        <v>16</v>
      </c>
      <c r="B10" s="18">
        <v>4000000.0</v>
      </c>
      <c r="C10" s="19" t="b">
        <v>0</v>
      </c>
      <c r="D10" s="20"/>
      <c r="E10" s="2"/>
      <c r="F10" s="17" t="s">
        <v>17</v>
      </c>
      <c r="G10" s="18">
        <v>500000.0</v>
      </c>
      <c r="H10" s="21" t="b">
        <v>0</v>
      </c>
      <c r="I10" s="22" t="str">
        <f t="shared" ref="I10:I17" si="1">IF(F10="", "", IF(H10, "Pagado", "Pendiente"))</f>
        <v>Pendiente</v>
      </c>
      <c r="J10" s="23"/>
    </row>
    <row r="11">
      <c r="A11" s="17" t="s">
        <v>18</v>
      </c>
      <c r="B11" s="18">
        <v>2000000.0</v>
      </c>
      <c r="C11" s="19" t="b">
        <v>0</v>
      </c>
      <c r="D11" s="24"/>
      <c r="E11" s="2"/>
      <c r="F11" s="17" t="s">
        <v>19</v>
      </c>
      <c r="G11" s="18">
        <v>1800000.0</v>
      </c>
      <c r="H11" s="21" t="b">
        <v>0</v>
      </c>
      <c r="I11" s="22" t="str">
        <f t="shared" si="1"/>
        <v>Pendiente</v>
      </c>
      <c r="J11" s="23"/>
    </row>
    <row r="12">
      <c r="A12" s="25" t="s">
        <v>20</v>
      </c>
      <c r="B12" s="26">
        <f>SUMIF(C10:C11,TRUE,B10:B11)</f>
        <v>0</v>
      </c>
      <c r="C12" s="27"/>
      <c r="D12" s="28"/>
      <c r="E12" s="2"/>
      <c r="F12" s="17" t="s">
        <v>21</v>
      </c>
      <c r="G12" s="18">
        <v>100000.0</v>
      </c>
      <c r="H12" s="21" t="b">
        <v>0</v>
      </c>
      <c r="I12" s="22" t="str">
        <f t="shared" si="1"/>
        <v>Pendiente</v>
      </c>
      <c r="J12" s="23"/>
    </row>
    <row r="13">
      <c r="A13" s="29"/>
      <c r="B13" s="30"/>
      <c r="C13" s="31"/>
      <c r="D13" s="24"/>
      <c r="E13" s="2"/>
      <c r="F13" s="17" t="s">
        <v>22</v>
      </c>
      <c r="G13" s="18">
        <v>130000.0</v>
      </c>
      <c r="H13" s="21" t="b">
        <v>0</v>
      </c>
      <c r="I13" s="22" t="str">
        <f t="shared" si="1"/>
        <v>Pendiente</v>
      </c>
      <c r="J13" s="23"/>
    </row>
    <row r="14">
      <c r="A14" s="32" t="s">
        <v>23</v>
      </c>
      <c r="B14" s="33" t="s">
        <v>9</v>
      </c>
      <c r="C14" s="34" t="s">
        <v>10</v>
      </c>
      <c r="D14" s="35" t="s">
        <v>11</v>
      </c>
      <c r="E14" s="2"/>
      <c r="F14" s="17" t="s">
        <v>24</v>
      </c>
      <c r="G14" s="18">
        <v>100000.0</v>
      </c>
      <c r="H14" s="21" t="b">
        <v>0</v>
      </c>
      <c r="I14" s="22" t="str">
        <f t="shared" si="1"/>
        <v>Pendiente</v>
      </c>
      <c r="J14" s="23"/>
    </row>
    <row r="15">
      <c r="A15" s="17" t="s">
        <v>25</v>
      </c>
      <c r="B15" s="18">
        <v>100000.0</v>
      </c>
      <c r="C15" s="19" t="b">
        <v>0</v>
      </c>
      <c r="D15" s="24"/>
      <c r="E15" s="2"/>
      <c r="F15" s="17" t="s">
        <v>26</v>
      </c>
      <c r="G15" s="18">
        <v>120000.0</v>
      </c>
      <c r="H15" s="21" t="b">
        <v>0</v>
      </c>
      <c r="I15" s="22" t="str">
        <f t="shared" si="1"/>
        <v>Pendiente</v>
      </c>
      <c r="J15" s="23"/>
    </row>
    <row r="16">
      <c r="A16" s="36" t="s">
        <v>27</v>
      </c>
      <c r="B16" s="37">
        <f>SUMIF(C15,TRUE,B15)</f>
        <v>0</v>
      </c>
      <c r="C16" s="38"/>
      <c r="D16" s="28"/>
      <c r="E16" s="2"/>
      <c r="F16" s="17" t="s">
        <v>28</v>
      </c>
      <c r="G16" s="18">
        <v>200000.0</v>
      </c>
      <c r="H16" s="21" t="b">
        <v>0</v>
      </c>
      <c r="I16" s="22" t="str">
        <f t="shared" si="1"/>
        <v>Pendiente</v>
      </c>
      <c r="J16" s="23"/>
    </row>
    <row r="17">
      <c r="A17" s="39" t="s">
        <v>29</v>
      </c>
      <c r="B17" s="40">
        <f>B12+B16</f>
        <v>0</v>
      </c>
      <c r="C17" s="41"/>
      <c r="D17" s="42"/>
      <c r="E17" s="2"/>
      <c r="F17" s="17"/>
      <c r="G17" s="18"/>
      <c r="H17" s="43" t="b">
        <v>0</v>
      </c>
      <c r="I17" s="22" t="str">
        <f t="shared" si="1"/>
        <v/>
      </c>
      <c r="J17" s="23"/>
    </row>
    <row r="18">
      <c r="A18" s="2"/>
      <c r="B18" s="30"/>
      <c r="C18" s="31"/>
      <c r="D18" s="2"/>
      <c r="E18" s="2"/>
      <c r="F18" s="25" t="s">
        <v>30</v>
      </c>
      <c r="G18" s="26">
        <f>SUMIF(H10:H17, TRUE, G10:G17)</f>
        <v>0</v>
      </c>
      <c r="H18" s="44"/>
      <c r="I18" s="27"/>
      <c r="J18" s="45"/>
    </row>
    <row r="19">
      <c r="A19" s="2"/>
      <c r="B19" s="2"/>
      <c r="C19" s="2"/>
      <c r="D19" s="2"/>
      <c r="E19" s="2"/>
      <c r="F19" s="29"/>
      <c r="G19" s="30"/>
      <c r="H19" s="31"/>
      <c r="I19" s="46"/>
      <c r="J19" s="47"/>
    </row>
    <row r="20" ht="18.0" customHeight="1">
      <c r="A20" s="2"/>
      <c r="B20" s="2"/>
      <c r="C20" s="2"/>
      <c r="D20" s="2"/>
      <c r="E20" s="2"/>
      <c r="F20" s="32" t="s">
        <v>31</v>
      </c>
      <c r="G20" s="33" t="s">
        <v>9</v>
      </c>
      <c r="H20" s="48" t="s">
        <v>13</v>
      </c>
      <c r="I20" s="34" t="s">
        <v>14</v>
      </c>
      <c r="J20" s="16" t="s">
        <v>15</v>
      </c>
    </row>
    <row r="21">
      <c r="A21" s="2"/>
      <c r="B21" s="2"/>
      <c r="C21" s="2"/>
      <c r="D21" s="2"/>
      <c r="E21" s="2"/>
      <c r="F21" s="17" t="s">
        <v>32</v>
      </c>
      <c r="G21" s="18">
        <v>300000.0</v>
      </c>
      <c r="H21" s="21" t="b">
        <v>0</v>
      </c>
      <c r="I21" s="22" t="str">
        <f t="shared" ref="I21:I23" si="2">IF(F21="", "", IF(H21, "Pagado", "Pendiente"))</f>
        <v>Pendiente</v>
      </c>
      <c r="J21" s="23"/>
    </row>
    <row r="22">
      <c r="A22" s="2"/>
      <c r="B22" s="2"/>
      <c r="C22" s="2"/>
      <c r="D22" s="2"/>
      <c r="E22" s="2"/>
      <c r="F22" s="17" t="s">
        <v>33</v>
      </c>
      <c r="G22" s="18">
        <v>100000.0</v>
      </c>
      <c r="H22" s="21" t="b">
        <v>0</v>
      </c>
      <c r="I22" s="22" t="str">
        <f t="shared" si="2"/>
        <v>Pendiente</v>
      </c>
      <c r="J22" s="23"/>
    </row>
    <row r="23">
      <c r="A23" s="2"/>
      <c r="B23" s="2"/>
      <c r="C23" s="2"/>
      <c r="D23" s="2"/>
      <c r="E23" s="2"/>
      <c r="F23" s="17"/>
      <c r="G23" s="18"/>
      <c r="H23" s="21" t="b">
        <v>0</v>
      </c>
      <c r="I23" s="22" t="str">
        <f t="shared" si="2"/>
        <v/>
      </c>
      <c r="J23" s="23"/>
    </row>
    <row r="24">
      <c r="A24" s="2"/>
      <c r="B24" s="2"/>
      <c r="C24" s="2"/>
      <c r="D24" s="2"/>
      <c r="E24" s="2"/>
      <c r="F24" s="36" t="s">
        <v>34</v>
      </c>
      <c r="G24" s="49">
        <f>SUMIF(H21:H23, TRUE, G21:G23)</f>
        <v>0</v>
      </c>
      <c r="H24" s="50"/>
      <c r="I24" s="38"/>
      <c r="J24" s="51"/>
    </row>
    <row r="25" ht="19.5" customHeight="1">
      <c r="A25" s="2"/>
      <c r="B25" s="2"/>
      <c r="C25" s="2"/>
      <c r="D25" s="2"/>
      <c r="E25" s="2"/>
      <c r="F25" s="39" t="s">
        <v>35</v>
      </c>
      <c r="G25" s="40">
        <f>G18+G24</f>
        <v>0</v>
      </c>
      <c r="H25" s="52"/>
      <c r="I25" s="41"/>
      <c r="J25" s="53"/>
    </row>
    <row r="26">
      <c r="A26" s="2"/>
      <c r="B26" s="2"/>
      <c r="C26" s="2"/>
      <c r="D26" s="2"/>
      <c r="E26" s="2"/>
      <c r="F26" s="2"/>
      <c r="G26" s="30"/>
      <c r="H26" s="31"/>
      <c r="I26" s="46"/>
      <c r="J26" s="3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D32" s="2"/>
    </row>
    <row r="33">
      <c r="D33" s="2"/>
    </row>
    <row r="34">
      <c r="D34" s="2"/>
    </row>
    <row r="35">
      <c r="D35" s="2"/>
    </row>
    <row r="36">
      <c r="D36" s="2"/>
    </row>
    <row r="37">
      <c r="D37" s="2"/>
    </row>
    <row r="38">
      <c r="D38" s="2"/>
    </row>
  </sheetData>
  <mergeCells count="2">
    <mergeCell ref="A8:D8"/>
    <mergeCell ref="F8:J8"/>
  </mergeCells>
  <conditionalFormatting sqref="F10:J17">
    <cfRule type="expression" dxfId="0" priority="1" stopIfTrue="1">
      <formula>$H10=TRUE</formula>
    </cfRule>
  </conditionalFormatting>
  <conditionalFormatting sqref="F21:J23">
    <cfRule type="expression" dxfId="0" priority="2" stopIfTrue="1">
      <formula>$H21=TRUE</formula>
    </cfRule>
  </conditionalFormatting>
  <dataValidations>
    <dataValidation type="custom" allowBlank="1" sqref="D10:D11 D15 J10:J17 J21:J23">
      <formula1>OR(NOT(ISERROR(DATEVALUE(D10))), AND(ISNUMBER(D10), LEFT(CELL("format", D10))="D"))</formula1>
    </dataValidation>
  </dataValidations>
  <drawing r:id="rId1"/>
</worksheet>
</file>